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weez\Downloads\"/>
    </mc:Choice>
  </mc:AlternateContent>
  <xr:revisionPtr revIDLastSave="0" documentId="8_{F602D17E-7633-419E-B96B-E3143132D011}" xr6:coauthVersionLast="47" xr6:coauthVersionMax="47" xr10:uidLastSave="{00000000-0000-0000-0000-000000000000}"/>
  <bookViews>
    <workbookView xWindow="-98" yWindow="-98" windowWidth="22695" windowHeight="14476" activeTab="3" xr2:uid="{00000000-000D-0000-FFFF-FFFF00000000}"/>
  </bookViews>
  <sheets>
    <sheet name="Eboulements" sheetId="1" r:id="rId1"/>
    <sheet name="Lithologie" sheetId="5" r:id="rId2"/>
    <sheet name="Fracturation" sheetId="6" r:id="rId3"/>
    <sheet name="Géomorphologie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HhSR/lWeFdzLssKGd1rOoEkmGv+YdD/eBTGcnbvr14s="/>
    </ext>
  </extLst>
</workbook>
</file>

<file path=xl/calcChain.xml><?xml version="1.0" encoding="utf-8"?>
<calcChain xmlns="http://schemas.openxmlformats.org/spreadsheetml/2006/main">
  <c r="D7" i="8" l="1"/>
  <c r="D6" i="8"/>
  <c r="D5" i="8"/>
  <c r="D4" i="8"/>
  <c r="D3" i="8"/>
  <c r="D2" i="8"/>
  <c r="K54" i="6"/>
  <c r="J54" i="6"/>
  <c r="K45" i="6"/>
  <c r="J45" i="6"/>
  <c r="K28" i="6"/>
  <c r="J28" i="6"/>
  <c r="K24" i="6"/>
  <c r="J24" i="6"/>
  <c r="K11" i="6"/>
  <c r="J11" i="6"/>
  <c r="I6" i="6"/>
  <c r="K2" i="6" s="1"/>
  <c r="J2" i="6"/>
  <c r="H7" i="1"/>
  <c r="G7" i="1"/>
  <c r="F7" i="1"/>
  <c r="E7" i="1"/>
  <c r="D7" i="1"/>
  <c r="C7" i="1"/>
  <c r="B7" i="1"/>
</calcChain>
</file>

<file path=xl/sharedStrings.xml><?xml version="1.0" encoding="utf-8"?>
<sst xmlns="http://schemas.openxmlformats.org/spreadsheetml/2006/main" count="236" uniqueCount="127">
  <si>
    <t>periode</t>
  </si>
  <si>
    <t>Cap_Fecamp</t>
  </si>
  <si>
    <t>Fecamp_Paluel</t>
  </si>
  <si>
    <t>Paluel_St-Val</t>
  </si>
  <si>
    <t xml:space="preserve">St-Val_Dieppe </t>
  </si>
  <si>
    <t xml:space="preserve">Dieppe_Penly </t>
  </si>
  <si>
    <t>Penly_Le Trepo</t>
  </si>
  <si>
    <t>nb_éboulements</t>
  </si>
  <si>
    <t>2001-2008</t>
  </si>
  <si>
    <t>2009-2012</t>
  </si>
  <si>
    <t>2013-2015</t>
  </si>
  <si>
    <t>2016-2019</t>
  </si>
  <si>
    <t>2020-2022</t>
  </si>
  <si>
    <t>nb_éboulements par cellule</t>
  </si>
  <si>
    <t>Cap d’Antifer – Fécamp</t>
  </si>
  <si>
    <t>Fécamp – Paluel</t>
  </si>
  <si>
    <t>Saint-Valéry – Dieppe</t>
  </si>
  <si>
    <t>Dieppe – Penly</t>
  </si>
  <si>
    <t>Penly – Le Tréport</t>
  </si>
  <si>
    <t>formation</t>
  </si>
  <si>
    <t>color</t>
  </si>
  <si>
    <t>length</t>
  </si>
  <si>
    <t>centroid_x</t>
  </si>
  <si>
    <t>centroid_y</t>
  </si>
  <si>
    <t>Cénomanien</t>
  </si>
  <si>
    <t>Black</t>
  </si>
  <si>
    <t>10582.9912980182</t>
  </si>
  <si>
    <t>Turonien</t>
  </si>
  <si>
    <t>Green</t>
  </si>
  <si>
    <t>20732.4148898077</t>
  </si>
  <si>
    <t>Coniacien</t>
  </si>
  <si>
    <t>Yellow</t>
  </si>
  <si>
    <t>148046.529554196</t>
  </si>
  <si>
    <t>16098.0538187344</t>
  </si>
  <si>
    <t>43873.0849422921</t>
  </si>
  <si>
    <t>Santonien</t>
  </si>
  <si>
    <t>Red</t>
  </si>
  <si>
    <t>51600.1803254139</t>
  </si>
  <si>
    <t>164127.561180856</t>
  </si>
  <si>
    <t>Campanien</t>
  </si>
  <si>
    <t>Pink</t>
  </si>
  <si>
    <t>36034.9412579642</t>
  </si>
  <si>
    <t>83364.224250225</t>
  </si>
  <si>
    <t>83068.0189820825</t>
  </si>
  <si>
    <t>num_cell</t>
  </si>
  <si>
    <t>nom_cell</t>
  </si>
  <si>
    <t>emprise</t>
  </si>
  <si>
    <t>territoire</t>
  </si>
  <si>
    <t>length_m</t>
  </si>
  <si>
    <t>Cenomanien%</t>
  </si>
  <si>
    <t>Turonien%</t>
  </si>
  <si>
    <t>Coniacien%</t>
  </si>
  <si>
    <t>Santonien%</t>
  </si>
  <si>
    <t>Campanien%</t>
  </si>
  <si>
    <t>Cap d’Antifer aux jetées du port de Fécamp</t>
  </si>
  <si>
    <t>Emprise du projet</t>
  </si>
  <si>
    <t>METROPOLE</t>
  </si>
  <si>
    <t>Jetée du port de Fécamp aux jetées de la centrale de Paluel</t>
  </si>
  <si>
    <t>Jetées de la centrale de Paluel aux jetées du port de Saint-Valéry-en-Caux</t>
  </si>
  <si>
    <t>Jetées du port de Saint-Valéry-en-Caux aux jetées du port de Dieppe</t>
  </si>
  <si>
    <t>Jetées du port de Dieppe aux jetées de la centrale de Penly</t>
  </si>
  <si>
    <t>Jetées de la centrale de Penly aux jetées du port du Tréport</t>
  </si>
  <si>
    <t>N°cellule hydrosédimentaire</t>
  </si>
  <si>
    <t>taille cellule hydrosédimentaire (km)</t>
  </si>
  <si>
    <t>segment précis (repères géographiques)</t>
  </si>
  <si>
    <t>longueur du segment (km)</t>
  </si>
  <si>
    <t>type de fractures (MFT ou TFT)</t>
  </si>
  <si>
    <t>Espacement petit (m)</t>
  </si>
  <si>
    <t>Espacement grand (m)</t>
  </si>
  <si>
    <t>densité (fract/m)</t>
  </si>
  <si>
    <t>fracturation (fract/km)</t>
  </si>
  <si>
    <t>moyenne fracturation par cellule TFT</t>
  </si>
  <si>
    <t>moyenne fracturation par cellule MFT</t>
  </si>
  <si>
    <t>logueur totale du littoral (km)</t>
  </si>
  <si>
    <t>Cellule</t>
  </si>
  <si>
    <t>Taille (km)</t>
  </si>
  <si>
    <t>numéro</t>
  </si>
  <si>
    <t>Cap d’Antifer – Le Tilleul</t>
  </si>
  <si>
    <t>TFT</t>
  </si>
  <si>
    <t>Le Tilleul – Étretat</t>
  </si>
  <si>
    <t>Étretat – Vaucottes</t>
  </si>
  <si>
    <t>Paluel – St-Valéry-en-Caux</t>
  </si>
  <si>
    <t>Vaucottes – Yport – Fécamp</t>
  </si>
  <si>
    <t>St-Valéry-en-Caux – Dieppe</t>
  </si>
  <si>
    <t>MFT</t>
  </si>
  <si>
    <t>Vaucottes – Yport</t>
  </si>
  <si>
    <t>Yport – Fécamp</t>
  </si>
  <si>
    <t>Fécamp – St-Pierre</t>
  </si>
  <si>
    <t>St-Pierre – Sassetot</t>
  </si>
  <si>
    <t>Sassetot – Grandes Dalles</t>
  </si>
  <si>
    <t>Grandes Dalles – Petites Dalles</t>
  </si>
  <si>
    <t>Petites Dalles – Paluel</t>
  </si>
  <si>
    <t>St-Pierre – Grandes Dalles</t>
  </si>
  <si>
    <t>Petites Dalles – Sassetot</t>
  </si>
  <si>
    <t>Sassetot – Veulettes</t>
  </si>
  <si>
    <t>Veulettes – Paluel Ouest</t>
  </si>
  <si>
    <t>Paluel Ouest – Paluel Est</t>
  </si>
  <si>
    <t>Paluel Est</t>
  </si>
  <si>
    <t>Paluel – zone ouest</t>
  </si>
  <si>
    <t>Zone ouest – St-Valéry-en-Caux</t>
  </si>
  <si>
    <t>St-Valéry-en-Caux – Veules Ouest</t>
  </si>
  <si>
    <t>Veules Ouest – Veules Centre</t>
  </si>
  <si>
    <t>Veules Centre – Veules Est</t>
  </si>
  <si>
    <t>Veules Est – Sotteville Ouest</t>
  </si>
  <si>
    <t>Sotteville Ouest – Sotteville Est</t>
  </si>
  <si>
    <t>Sotteville Est – St-Aubin</t>
  </si>
  <si>
    <t>St-Aubin – Quiberville</t>
  </si>
  <si>
    <t>Quiberville – Dieppe</t>
  </si>
  <si>
    <t>Quiberville – Varengeville</t>
  </si>
  <si>
    <t>Varengeville – Dieppe</t>
  </si>
  <si>
    <t>Dieppe – Puys</t>
  </si>
  <si>
    <t>Puys – Berneval</t>
  </si>
  <si>
    <t>Berneval – Belleville</t>
  </si>
  <si>
    <t>Belleville – Penly</t>
  </si>
  <si>
    <t>Belleville – Penly Ouest</t>
  </si>
  <si>
    <t>Penly Ouest – Penly Est</t>
  </si>
  <si>
    <t>Penly – Criel-sur-Mer</t>
  </si>
  <si>
    <t>Criel-sur-Mer – Mers-les-Bains Ouest</t>
  </si>
  <si>
    <t>Mers-les-Bains Ouest – Mers-les-Bains Est</t>
  </si>
  <si>
    <t>Mers-les-Bains Est – Ault Ouest</t>
  </si>
  <si>
    <t>Ault Ouest – Ault Est</t>
  </si>
  <si>
    <t>Ault Est – Le Tréport</t>
  </si>
  <si>
    <t>Sous-cellule hydro-sédimentaire</t>
  </si>
  <si>
    <t>Distance moyenne de recul (1947–2013)</t>
  </si>
  <si>
    <t>Durée (ans)</t>
  </si>
  <si>
    <t>Taux de recul (m/an)</t>
  </si>
  <si>
    <t>Paluel – Saint-Valéry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</si>
</sst>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>
    <font>
      <sz val="10"/>
      <color rgb="FF000000"/>
      <name val="Arial"/>
      <scheme val="minor"/>
    </font>
    <font>
      <b/>
      <sz val="8"/>
      <color theme="1"/>
      <name val="Calibri"/>
    </font>
    <font>
      <sz val="8"/>
      <color theme="1"/>
      <name val="Calibri"/>
    </font>
    <font>
      <b/>
      <sz val="8"/>
      <color rgb="FF000000"/>
      <name val="Helvetica Neue"/>
    </font>
    <font>
      <sz val="8"/>
      <color rgb="FF000000"/>
      <name val="Helvetica Neue"/>
    </font>
    <font>
      <sz val="7"/>
      <color theme="1"/>
      <name val="Aptos Narrow"/>
    </font>
    <font>
      <sz val="7"/>
      <color theme="1"/>
      <name val="Arial"/>
      <scheme val="minor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0" borderId="1" xfId="0" applyFont="1" applyBorder="1"/>
    <xf numFmtId="0" fontId="3" fillId="3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" xfId="0" applyFont="1" applyBorder="1" applyAlignment="1">
      <alignment horizontal="right" wrapText="1"/>
    </xf>
    <xf numFmtId="0" fontId="5" fillId="0" borderId="2" xfId="0" applyFont="1" applyBorder="1" applyAlignment="1">
      <alignment horizontal="right" wrapText="1"/>
    </xf>
    <xf numFmtId="2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0" xfId="0" applyFont="1"/>
    <xf numFmtId="0" fontId="3" fillId="3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164" fontId="4" fillId="0" borderId="2" xfId="0" applyNumberFormat="1" applyFont="1" applyBorder="1" applyAlignment="1">
      <alignment vertical="top"/>
    </xf>
    <xf numFmtId="165" fontId="4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993"/>
  <sheetViews>
    <sheetView workbookViewId="0"/>
  </sheetViews>
  <sheetFormatPr baseColWidth="10" defaultColWidth="12.59765625" defaultRowHeight="15" customHeight="1"/>
  <cols>
    <col min="1" max="1" width="16.3984375" customWidth="1"/>
    <col min="2" max="6" width="12.59765625" customWidth="1"/>
  </cols>
  <sheetData>
    <row r="1" spans="1:8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5.75" customHeight="1">
      <c r="A2" s="3" t="s">
        <v>8</v>
      </c>
      <c r="B2" s="4">
        <v>27</v>
      </c>
      <c r="C2" s="5">
        <v>39</v>
      </c>
      <c r="D2" s="4">
        <v>17</v>
      </c>
      <c r="E2" s="5">
        <v>36</v>
      </c>
      <c r="F2" s="4">
        <v>18</v>
      </c>
      <c r="G2" s="5">
        <v>35</v>
      </c>
      <c r="H2" s="6">
        <v>172</v>
      </c>
    </row>
    <row r="3" spans="1:8" ht="15.75" customHeight="1">
      <c r="A3" s="3" t="s">
        <v>9</v>
      </c>
      <c r="B3" s="4">
        <v>9</v>
      </c>
      <c r="C3" s="5">
        <v>30</v>
      </c>
      <c r="D3" s="4">
        <v>5</v>
      </c>
      <c r="E3" s="5">
        <v>32</v>
      </c>
      <c r="F3" s="4">
        <v>24</v>
      </c>
      <c r="G3" s="5">
        <v>34</v>
      </c>
      <c r="H3" s="6">
        <v>134</v>
      </c>
    </row>
    <row r="4" spans="1:8" ht="15.75" customHeight="1">
      <c r="A4" s="3" t="s">
        <v>10</v>
      </c>
      <c r="B4" s="4">
        <v>7</v>
      </c>
      <c r="C4" s="5">
        <v>16</v>
      </c>
      <c r="D4" s="4">
        <v>2</v>
      </c>
      <c r="E4" s="5">
        <v>38</v>
      </c>
      <c r="F4" s="4">
        <v>12</v>
      </c>
      <c r="G4" s="5">
        <v>9</v>
      </c>
      <c r="H4" s="6">
        <v>84</v>
      </c>
    </row>
    <row r="5" spans="1:8" ht="15.75" customHeight="1">
      <c r="A5" s="3" t="s">
        <v>11</v>
      </c>
      <c r="B5" s="4">
        <v>11</v>
      </c>
      <c r="C5" s="5">
        <v>25</v>
      </c>
      <c r="D5" s="4">
        <v>4</v>
      </c>
      <c r="E5" s="5">
        <v>35</v>
      </c>
      <c r="F5" s="4">
        <v>15</v>
      </c>
      <c r="G5" s="5">
        <v>19</v>
      </c>
      <c r="H5" s="6">
        <v>109</v>
      </c>
    </row>
    <row r="6" spans="1:8" ht="15.75" customHeight="1">
      <c r="A6" s="3" t="s">
        <v>12</v>
      </c>
      <c r="B6" s="4">
        <v>12</v>
      </c>
      <c r="C6" s="5">
        <v>21</v>
      </c>
      <c r="D6" s="4">
        <v>5</v>
      </c>
      <c r="E6" s="5">
        <v>29</v>
      </c>
      <c r="F6" s="4">
        <v>12</v>
      </c>
      <c r="G6" s="5">
        <v>22</v>
      </c>
      <c r="H6" s="6">
        <v>101</v>
      </c>
    </row>
    <row r="7" spans="1:8" ht="15.75" customHeight="1">
      <c r="A7" s="7" t="s">
        <v>13</v>
      </c>
      <c r="B7" s="8">
        <f t="shared" ref="B7:H7" si="0">SUM(B2:B6)</f>
        <v>66</v>
      </c>
      <c r="C7" s="8">
        <f t="shared" si="0"/>
        <v>131</v>
      </c>
      <c r="D7" s="8">
        <f t="shared" si="0"/>
        <v>33</v>
      </c>
      <c r="E7" s="8">
        <f t="shared" si="0"/>
        <v>170</v>
      </c>
      <c r="F7" s="8">
        <f t="shared" si="0"/>
        <v>81</v>
      </c>
      <c r="G7" s="8">
        <f t="shared" si="0"/>
        <v>119</v>
      </c>
      <c r="H7" s="8">
        <f t="shared" si="0"/>
        <v>600</v>
      </c>
    </row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J1000"/>
  <sheetViews>
    <sheetView workbookViewId="0"/>
  </sheetViews>
  <sheetFormatPr baseColWidth="10" defaultColWidth="12.59765625" defaultRowHeight="15" customHeight="1"/>
  <cols>
    <col min="1" max="5" width="12.59765625" customWidth="1"/>
  </cols>
  <sheetData>
    <row r="1" spans="1:10" ht="15.75" customHeight="1">
      <c r="A1" s="9" t="s">
        <v>19</v>
      </c>
      <c r="B1" s="9" t="s">
        <v>20</v>
      </c>
      <c r="C1" s="9" t="s">
        <v>21</v>
      </c>
      <c r="D1" s="9" t="s">
        <v>22</v>
      </c>
      <c r="E1" s="9" t="s">
        <v>23</v>
      </c>
    </row>
    <row r="2" spans="1:10" ht="15.75" customHeight="1">
      <c r="A2" s="10" t="s">
        <v>24</v>
      </c>
      <c r="B2" s="10" t="s">
        <v>25</v>
      </c>
      <c r="C2" s="10" t="s">
        <v>26</v>
      </c>
      <c r="D2" s="10">
        <v>18318</v>
      </c>
      <c r="E2" s="10">
        <v>6393078</v>
      </c>
    </row>
    <row r="3" spans="1:10" ht="15.75" customHeight="1">
      <c r="A3" s="10" t="s">
        <v>27</v>
      </c>
      <c r="B3" s="10" t="s">
        <v>28</v>
      </c>
      <c r="C3" s="10" t="s">
        <v>29</v>
      </c>
      <c r="D3" s="10">
        <v>18848</v>
      </c>
      <c r="E3" s="10">
        <v>6396091</v>
      </c>
    </row>
    <row r="4" spans="1:10" ht="15.75" customHeight="1">
      <c r="A4" s="10" t="s">
        <v>30</v>
      </c>
      <c r="B4" s="10" t="s">
        <v>31</v>
      </c>
      <c r="C4" s="10" t="s">
        <v>32</v>
      </c>
      <c r="D4" s="10">
        <v>44633</v>
      </c>
      <c r="E4" s="10">
        <v>6412293</v>
      </c>
    </row>
    <row r="5" spans="1:10" ht="15.75" customHeight="1">
      <c r="A5" s="10" t="s">
        <v>24</v>
      </c>
      <c r="B5" s="10" t="s">
        <v>25</v>
      </c>
      <c r="C5" s="10" t="s">
        <v>33</v>
      </c>
      <c r="D5" s="10">
        <v>43326</v>
      </c>
      <c r="E5" s="10">
        <v>6407943</v>
      </c>
    </row>
    <row r="6" spans="1:10" ht="15.75" customHeight="1">
      <c r="A6" s="10" t="s">
        <v>27</v>
      </c>
      <c r="B6" s="10" t="s">
        <v>28</v>
      </c>
      <c r="C6" s="10" t="s">
        <v>34</v>
      </c>
      <c r="D6" s="10">
        <v>48654</v>
      </c>
      <c r="E6" s="10">
        <v>6412715</v>
      </c>
    </row>
    <row r="7" spans="1:10" ht="15.75" customHeight="1">
      <c r="A7" s="10" t="s">
        <v>35</v>
      </c>
      <c r="B7" s="10" t="s">
        <v>36</v>
      </c>
      <c r="C7" s="10" t="s">
        <v>37</v>
      </c>
      <c r="D7" s="10">
        <v>31460</v>
      </c>
      <c r="E7" s="10">
        <v>6406555</v>
      </c>
    </row>
    <row r="8" spans="1:10" ht="15.75" customHeight="1">
      <c r="A8" s="10" t="s">
        <v>35</v>
      </c>
      <c r="B8" s="10" t="s">
        <v>36</v>
      </c>
      <c r="C8" s="10" t="s">
        <v>38</v>
      </c>
      <c r="D8" s="10">
        <v>83399</v>
      </c>
      <c r="E8" s="10">
        <v>6429472</v>
      </c>
    </row>
    <row r="9" spans="1:10" ht="15.75" customHeight="1">
      <c r="A9" s="10" t="s">
        <v>39</v>
      </c>
      <c r="B9" s="10" t="s">
        <v>40</v>
      </c>
      <c r="C9" s="10" t="s">
        <v>41</v>
      </c>
      <c r="D9" s="10">
        <v>110615</v>
      </c>
      <c r="E9" s="10">
        <v>6438777</v>
      </c>
    </row>
    <row r="10" spans="1:10" ht="15.75" customHeight="1">
      <c r="A10" s="10" t="s">
        <v>27</v>
      </c>
      <c r="B10" s="10" t="s">
        <v>28</v>
      </c>
      <c r="C10" s="10" t="s">
        <v>42</v>
      </c>
      <c r="D10" s="10">
        <v>137021</v>
      </c>
      <c r="E10" s="10">
        <v>6447778</v>
      </c>
    </row>
    <row r="11" spans="1:10" ht="15.75" customHeight="1">
      <c r="A11" s="10" t="s">
        <v>30</v>
      </c>
      <c r="B11" s="10" t="s">
        <v>31</v>
      </c>
      <c r="C11" s="10" t="s">
        <v>43</v>
      </c>
      <c r="D11" s="10">
        <v>136112</v>
      </c>
      <c r="E11" s="10">
        <v>6449061</v>
      </c>
    </row>
    <row r="12" spans="1:10" ht="15.75" customHeight="1"/>
    <row r="13" spans="1:10" ht="15.75" customHeight="1">
      <c r="A13" s="11" t="s">
        <v>44</v>
      </c>
      <c r="B13" s="11" t="s">
        <v>45</v>
      </c>
      <c r="C13" s="11" t="s">
        <v>46</v>
      </c>
      <c r="D13" s="11" t="s">
        <v>47</v>
      </c>
      <c r="E13" s="11" t="s">
        <v>48</v>
      </c>
      <c r="F13" s="12" t="s">
        <v>49</v>
      </c>
      <c r="G13" s="12" t="s">
        <v>50</v>
      </c>
      <c r="H13" s="12" t="s">
        <v>51</v>
      </c>
      <c r="I13" s="12" t="s">
        <v>52</v>
      </c>
      <c r="J13" s="12" t="s">
        <v>53</v>
      </c>
    </row>
    <row r="14" spans="1:10" ht="15.75" customHeight="1">
      <c r="A14" s="13">
        <v>1</v>
      </c>
      <c r="B14" s="11" t="s">
        <v>54</v>
      </c>
      <c r="C14" s="11" t="s">
        <v>55</v>
      </c>
      <c r="D14" s="11" t="s">
        <v>56</v>
      </c>
      <c r="E14" s="14">
        <v>19806.2</v>
      </c>
      <c r="F14" s="15">
        <v>4.3869852799605482</v>
      </c>
      <c r="G14" s="16">
        <v>12.287156747465056</v>
      </c>
      <c r="H14" s="15">
        <v>49.999999999999993</v>
      </c>
      <c r="I14" s="16">
        <v>33.32585797257439</v>
      </c>
      <c r="J14" s="15">
        <v>0</v>
      </c>
    </row>
    <row r="15" spans="1:10" ht="15.75" customHeight="1">
      <c r="A15" s="13">
        <v>2</v>
      </c>
      <c r="B15" s="11" t="s">
        <v>57</v>
      </c>
      <c r="C15" s="11" t="s">
        <v>55</v>
      </c>
      <c r="D15" s="11" t="s">
        <v>56</v>
      </c>
      <c r="E15" s="14">
        <v>27566.776000000002</v>
      </c>
      <c r="F15" s="16">
        <v>5.7235003574896233</v>
      </c>
      <c r="G15" s="16">
        <v>20.792064910051909</v>
      </c>
      <c r="H15" s="16">
        <v>40.183768324044294</v>
      </c>
      <c r="I15" s="16">
        <v>33.30066640841418</v>
      </c>
      <c r="J15" s="16">
        <v>0</v>
      </c>
    </row>
    <row r="16" spans="1:10" ht="15.75" customHeight="1">
      <c r="A16" s="13">
        <v>3</v>
      </c>
      <c r="B16" s="11" t="s">
        <v>58</v>
      </c>
      <c r="C16" s="11" t="s">
        <v>55</v>
      </c>
      <c r="D16" s="11" t="s">
        <v>56</v>
      </c>
      <c r="E16" s="14">
        <v>7357.1790000000001</v>
      </c>
      <c r="F16" s="16">
        <v>0</v>
      </c>
      <c r="G16" s="16">
        <v>0</v>
      </c>
      <c r="H16" s="16">
        <v>40.046549758126588</v>
      </c>
      <c r="I16" s="16">
        <v>59.953450241873419</v>
      </c>
      <c r="J16" s="16">
        <v>0</v>
      </c>
    </row>
    <row r="17" spans="1:10" ht="15.75" customHeight="1">
      <c r="A17" s="13">
        <v>4</v>
      </c>
      <c r="B17" s="11" t="s">
        <v>59</v>
      </c>
      <c r="C17" s="11" t="s">
        <v>55</v>
      </c>
      <c r="D17" s="11" t="s">
        <v>56</v>
      </c>
      <c r="E17" s="14">
        <v>30980.178</v>
      </c>
      <c r="F17" s="16">
        <v>0</v>
      </c>
      <c r="G17" s="16">
        <v>0</v>
      </c>
      <c r="H17" s="16">
        <v>0</v>
      </c>
      <c r="I17" s="16">
        <v>81.267331503647952</v>
      </c>
      <c r="J17" s="16">
        <v>18.732668496352058</v>
      </c>
    </row>
    <row r="18" spans="1:10" ht="15.75" customHeight="1">
      <c r="A18" s="13">
        <v>5</v>
      </c>
      <c r="B18" s="11" t="s">
        <v>60</v>
      </c>
      <c r="C18" s="11" t="s">
        <v>55</v>
      </c>
      <c r="D18" s="11" t="s">
        <v>56</v>
      </c>
      <c r="E18" s="14">
        <v>13231.724</v>
      </c>
      <c r="F18" s="16">
        <v>0</v>
      </c>
      <c r="G18" s="16">
        <v>47.534207331375768</v>
      </c>
      <c r="H18" s="16">
        <v>47.534207331375768</v>
      </c>
      <c r="I18" s="16">
        <v>4.9315853372484604</v>
      </c>
      <c r="J18" s="16">
        <v>0</v>
      </c>
    </row>
    <row r="19" spans="1:10" ht="15.75" customHeight="1">
      <c r="A19" s="13">
        <v>6</v>
      </c>
      <c r="B19" s="11" t="s">
        <v>61</v>
      </c>
      <c r="C19" s="11" t="s">
        <v>55</v>
      </c>
      <c r="D19" s="11" t="s">
        <v>56</v>
      </c>
      <c r="E19" s="14">
        <v>18582.168000000001</v>
      </c>
      <c r="F19" s="16">
        <v>0</v>
      </c>
      <c r="G19" s="16">
        <v>50</v>
      </c>
      <c r="H19" s="16">
        <v>50</v>
      </c>
      <c r="I19" s="16">
        <v>0</v>
      </c>
      <c r="J19" s="16">
        <v>0</v>
      </c>
    </row>
    <row r="20" spans="1:10" ht="15.75" customHeight="1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ht="15.75" customHeight="1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ht="15.75" customHeight="1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0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</row>
    <row r="26" spans="1:10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</row>
    <row r="27" spans="1:10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</row>
    <row r="28" spans="1:10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</row>
    <row r="31" spans="1:10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</row>
    <row r="32" spans="1:10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</row>
    <row r="33" spans="1:10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</row>
    <row r="34" spans="1:10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</row>
    <row r="35" spans="1:10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</row>
    <row r="36" spans="1:10" ht="15.75" customHeight="1"/>
    <row r="37" spans="1:10" ht="15.75" customHeight="1"/>
    <row r="38" spans="1:10" ht="15.75" customHeight="1"/>
    <row r="39" spans="1:10" ht="15.75" customHeight="1"/>
    <row r="40" spans="1:10" ht="15.75" customHeight="1"/>
    <row r="41" spans="1:10" ht="15.75" customHeight="1"/>
    <row r="42" spans="1:10" ht="15.75" customHeight="1"/>
    <row r="43" spans="1:10" ht="15.75" customHeight="1"/>
    <row r="44" spans="1:10" ht="15.75" customHeight="1"/>
    <row r="45" spans="1:10" ht="15.75" customHeight="1"/>
    <row r="46" spans="1:10" ht="15.75" customHeight="1"/>
    <row r="47" spans="1:10" ht="15.75" customHeight="1"/>
    <row r="48" spans="1:10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000"/>
  <sheetViews>
    <sheetView workbookViewId="0"/>
  </sheetViews>
  <sheetFormatPr baseColWidth="10" defaultColWidth="12.59765625" defaultRowHeight="15" customHeight="1"/>
  <cols>
    <col min="1" max="1" width="20.265625" customWidth="1"/>
    <col min="2" max="2" width="24" customWidth="1"/>
    <col min="3" max="3" width="27" customWidth="1"/>
    <col min="4" max="4" width="18.46484375" customWidth="1"/>
    <col min="5" max="5" width="20.59765625" customWidth="1"/>
    <col min="6" max="6" width="15.265625" customWidth="1"/>
    <col min="7" max="7" width="15.46484375" customWidth="1"/>
    <col min="9" max="9" width="15.46484375" customWidth="1"/>
    <col min="10" max="11" width="24.86328125" customWidth="1"/>
    <col min="12" max="12" width="19.73046875" customWidth="1"/>
  </cols>
  <sheetData>
    <row r="1" spans="1:15" ht="15.75" customHeight="1">
      <c r="A1" s="9" t="s">
        <v>62</v>
      </c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  <c r="G1" s="9" t="s">
        <v>68</v>
      </c>
      <c r="H1" s="9" t="s">
        <v>69</v>
      </c>
      <c r="I1" s="9" t="s">
        <v>70</v>
      </c>
      <c r="J1" s="18" t="s">
        <v>71</v>
      </c>
      <c r="K1" s="18" t="s">
        <v>72</v>
      </c>
      <c r="L1" s="9" t="s">
        <v>73</v>
      </c>
      <c r="M1" s="9" t="s">
        <v>74</v>
      </c>
      <c r="N1" s="9" t="s">
        <v>75</v>
      </c>
      <c r="O1" s="9" t="s">
        <v>76</v>
      </c>
    </row>
    <row r="2" spans="1:15" ht="15.75" customHeight="1">
      <c r="A2" s="19">
        <v>1</v>
      </c>
      <c r="B2" s="10">
        <v>29</v>
      </c>
      <c r="C2" s="10" t="s">
        <v>77</v>
      </c>
      <c r="D2" s="10">
        <v>6</v>
      </c>
      <c r="E2" s="10" t="s">
        <v>78</v>
      </c>
      <c r="F2" s="10">
        <v>5</v>
      </c>
      <c r="G2" s="10">
        <v>10</v>
      </c>
      <c r="H2" s="10">
        <v>0.1333333333</v>
      </c>
      <c r="I2" s="10">
        <v>133.33333329999999</v>
      </c>
      <c r="J2" s="10">
        <f>AVERAGE(I2,I3,I4,I5)</f>
        <v>87.499999992499994</v>
      </c>
      <c r="K2" s="10">
        <f>AVERAGE(I6,I7,I8,I9,I10)</f>
        <v>64.666666660000004</v>
      </c>
      <c r="L2" s="10">
        <v>140</v>
      </c>
      <c r="M2" s="10" t="s">
        <v>14</v>
      </c>
      <c r="N2" s="10">
        <v>29</v>
      </c>
      <c r="O2" s="10">
        <v>1</v>
      </c>
    </row>
    <row r="3" spans="1:15" ht="15.75" customHeight="1">
      <c r="A3" s="19">
        <v>1</v>
      </c>
      <c r="B3" s="10">
        <v>29</v>
      </c>
      <c r="C3" s="10" t="s">
        <v>79</v>
      </c>
      <c r="D3" s="10">
        <v>6</v>
      </c>
      <c r="E3" s="10" t="s">
        <v>78</v>
      </c>
      <c r="F3" s="10">
        <v>10</v>
      </c>
      <c r="G3" s="10">
        <v>15</v>
      </c>
      <c r="H3" s="10">
        <v>0.1</v>
      </c>
      <c r="I3" s="10">
        <v>100</v>
      </c>
      <c r="J3" s="20"/>
      <c r="K3" s="20"/>
      <c r="L3" s="20"/>
      <c r="M3" s="10" t="s">
        <v>15</v>
      </c>
      <c r="N3" s="10">
        <v>22</v>
      </c>
      <c r="O3" s="10">
        <v>2</v>
      </c>
    </row>
    <row r="4" spans="1:15" ht="15.75" customHeight="1">
      <c r="A4" s="19">
        <v>1</v>
      </c>
      <c r="B4" s="10">
        <v>29</v>
      </c>
      <c r="C4" s="10" t="s">
        <v>80</v>
      </c>
      <c r="D4" s="10">
        <v>8</v>
      </c>
      <c r="E4" s="10" t="s">
        <v>78</v>
      </c>
      <c r="F4" s="10">
        <v>15</v>
      </c>
      <c r="G4" s="10">
        <v>20</v>
      </c>
      <c r="H4" s="10">
        <v>6.6666666669999999E-2</v>
      </c>
      <c r="I4" s="10">
        <v>66.666666669999998</v>
      </c>
      <c r="J4" s="20"/>
      <c r="K4" s="20"/>
      <c r="L4" s="20"/>
      <c r="M4" s="10" t="s">
        <v>81</v>
      </c>
      <c r="N4" s="10">
        <v>11</v>
      </c>
      <c r="O4" s="10">
        <v>3</v>
      </c>
    </row>
    <row r="5" spans="1:15" ht="15.75" customHeight="1">
      <c r="A5" s="19">
        <v>1</v>
      </c>
      <c r="B5" s="10">
        <v>29</v>
      </c>
      <c r="C5" s="10" t="s">
        <v>82</v>
      </c>
      <c r="D5" s="10">
        <v>9</v>
      </c>
      <c r="E5" s="10" t="s">
        <v>78</v>
      </c>
      <c r="F5" s="10">
        <v>20</v>
      </c>
      <c r="G5" s="10">
        <v>25</v>
      </c>
      <c r="H5" s="10">
        <v>0.05</v>
      </c>
      <c r="I5" s="10">
        <v>50</v>
      </c>
      <c r="J5" s="20"/>
      <c r="K5" s="20"/>
      <c r="L5" s="20"/>
      <c r="M5" s="10" t="s">
        <v>83</v>
      </c>
      <c r="N5" s="10">
        <v>36</v>
      </c>
      <c r="O5" s="10">
        <v>4</v>
      </c>
    </row>
    <row r="6" spans="1:15" ht="15.75" customHeight="1">
      <c r="A6" s="19">
        <v>1</v>
      </c>
      <c r="B6" s="10">
        <v>29</v>
      </c>
      <c r="C6" s="10" t="s">
        <v>77</v>
      </c>
      <c r="D6" s="10">
        <v>5.5</v>
      </c>
      <c r="E6" s="10" t="s">
        <v>84</v>
      </c>
      <c r="F6" s="10">
        <v>10</v>
      </c>
      <c r="G6" s="10">
        <v>15</v>
      </c>
      <c r="H6" s="10">
        <v>0.1333333333</v>
      </c>
      <c r="I6" s="10">
        <f>H6*1000</f>
        <v>133.33333329999999</v>
      </c>
      <c r="J6" s="20"/>
      <c r="K6" s="20"/>
      <c r="L6" s="20"/>
      <c r="M6" s="10" t="s">
        <v>17</v>
      </c>
      <c r="N6" s="10">
        <v>20</v>
      </c>
      <c r="O6" s="10">
        <v>5</v>
      </c>
    </row>
    <row r="7" spans="1:15" ht="15.75" customHeight="1">
      <c r="A7" s="19">
        <v>1</v>
      </c>
      <c r="B7" s="10">
        <v>29</v>
      </c>
      <c r="C7" s="10" t="s">
        <v>79</v>
      </c>
      <c r="D7" s="10">
        <v>4.5</v>
      </c>
      <c r="E7" s="10" t="s">
        <v>84</v>
      </c>
      <c r="F7" s="10">
        <v>15</v>
      </c>
      <c r="G7" s="10">
        <v>20</v>
      </c>
      <c r="H7" s="10">
        <v>6.6666666669999999E-2</v>
      </c>
      <c r="I7" s="10">
        <v>66.666666669999998</v>
      </c>
      <c r="J7" s="20"/>
      <c r="K7" s="20"/>
      <c r="L7" s="20"/>
      <c r="M7" s="10" t="s">
        <v>18</v>
      </c>
      <c r="N7" s="10">
        <v>22</v>
      </c>
      <c r="O7" s="10">
        <v>6</v>
      </c>
    </row>
    <row r="8" spans="1:15" ht="15.75" customHeight="1">
      <c r="A8" s="19">
        <v>1</v>
      </c>
      <c r="B8" s="10">
        <v>29</v>
      </c>
      <c r="C8" s="10" t="s">
        <v>80</v>
      </c>
      <c r="D8" s="10">
        <v>6</v>
      </c>
      <c r="E8" s="10" t="s">
        <v>84</v>
      </c>
      <c r="F8" s="10">
        <v>20</v>
      </c>
      <c r="G8" s="10">
        <v>25</v>
      </c>
      <c r="H8" s="10">
        <v>0.05</v>
      </c>
      <c r="I8" s="10">
        <v>50</v>
      </c>
      <c r="J8" s="20"/>
      <c r="K8" s="20"/>
      <c r="L8" s="20"/>
      <c r="M8" s="20"/>
      <c r="N8" s="20"/>
      <c r="O8" s="20"/>
    </row>
    <row r="9" spans="1:15" ht="15.75" customHeight="1">
      <c r="A9" s="19">
        <v>1</v>
      </c>
      <c r="B9" s="10">
        <v>29</v>
      </c>
      <c r="C9" s="10" t="s">
        <v>85</v>
      </c>
      <c r="D9" s="10">
        <v>7</v>
      </c>
      <c r="E9" s="10" t="s">
        <v>84</v>
      </c>
      <c r="F9" s="10">
        <v>25</v>
      </c>
      <c r="G9" s="10">
        <v>30</v>
      </c>
      <c r="H9" s="10">
        <v>0.04</v>
      </c>
      <c r="I9" s="10">
        <v>40</v>
      </c>
      <c r="J9" s="20"/>
      <c r="K9" s="20"/>
      <c r="L9" s="20"/>
      <c r="M9" s="20"/>
      <c r="N9" s="20"/>
      <c r="O9" s="20"/>
    </row>
    <row r="10" spans="1:15" ht="15.75" customHeight="1">
      <c r="A10" s="19">
        <v>1</v>
      </c>
      <c r="B10" s="10">
        <v>29</v>
      </c>
      <c r="C10" s="10" t="s">
        <v>86</v>
      </c>
      <c r="D10" s="10">
        <v>6</v>
      </c>
      <c r="E10" s="10" t="s">
        <v>84</v>
      </c>
      <c r="F10" s="10">
        <v>30</v>
      </c>
      <c r="G10" s="10">
        <v>50</v>
      </c>
      <c r="H10" s="10">
        <v>3.3333333329999999E-2</v>
      </c>
      <c r="I10" s="10">
        <v>33.333333330000002</v>
      </c>
      <c r="J10" s="20"/>
      <c r="K10" s="20"/>
      <c r="L10" s="20"/>
      <c r="M10" s="20"/>
      <c r="N10" s="20"/>
      <c r="O10" s="20"/>
    </row>
    <row r="11" spans="1:15" ht="15.75" customHeight="1">
      <c r="A11" s="19">
        <v>2</v>
      </c>
      <c r="B11" s="10">
        <v>22</v>
      </c>
      <c r="C11" s="10" t="s">
        <v>87</v>
      </c>
      <c r="D11" s="10">
        <v>4.5</v>
      </c>
      <c r="E11" s="10" t="s">
        <v>78</v>
      </c>
      <c r="F11" s="10">
        <v>15</v>
      </c>
      <c r="G11" s="10">
        <v>20</v>
      </c>
      <c r="H11" s="10">
        <v>6.6666666669999999E-2</v>
      </c>
      <c r="I11" s="10">
        <v>66.666666669999998</v>
      </c>
      <c r="J11" s="20">
        <f>AVERAGE(I11,I12,I13,I14,I15)</f>
        <v>43</v>
      </c>
      <c r="K11" s="20">
        <f>AVERAGE(I16,I17,I18,I19,I20,I21,I22,I23)</f>
        <v>45.446428571250003</v>
      </c>
      <c r="L11" s="20"/>
      <c r="M11" s="20"/>
      <c r="N11" s="20"/>
      <c r="O11" s="20"/>
    </row>
    <row r="12" spans="1:15" ht="15.75" customHeight="1">
      <c r="A12" s="19">
        <v>2</v>
      </c>
      <c r="B12" s="10">
        <v>22</v>
      </c>
      <c r="C12" s="10" t="s">
        <v>88</v>
      </c>
      <c r="D12" s="10">
        <v>4.5</v>
      </c>
      <c r="E12" s="10" t="s">
        <v>78</v>
      </c>
      <c r="F12" s="10">
        <v>20</v>
      </c>
      <c r="G12" s="10">
        <v>25</v>
      </c>
      <c r="H12" s="10">
        <v>0.05</v>
      </c>
      <c r="I12" s="10">
        <v>50</v>
      </c>
      <c r="J12" s="20"/>
      <c r="K12" s="20"/>
      <c r="L12" s="20"/>
      <c r="M12" s="20"/>
      <c r="N12" s="20"/>
      <c r="O12" s="20"/>
    </row>
    <row r="13" spans="1:15" ht="15.75" customHeight="1">
      <c r="A13" s="19">
        <v>2</v>
      </c>
      <c r="B13" s="10">
        <v>22</v>
      </c>
      <c r="C13" s="10" t="s">
        <v>89</v>
      </c>
      <c r="D13" s="10">
        <v>4</v>
      </c>
      <c r="E13" s="10" t="s">
        <v>78</v>
      </c>
      <c r="F13" s="10">
        <v>25</v>
      </c>
      <c r="G13" s="10">
        <v>30</v>
      </c>
      <c r="H13" s="10">
        <v>0.04</v>
      </c>
      <c r="I13" s="10">
        <v>40</v>
      </c>
      <c r="J13" s="20"/>
      <c r="K13" s="20"/>
      <c r="L13" s="20"/>
      <c r="M13" s="20"/>
      <c r="N13" s="20"/>
      <c r="O13" s="20"/>
    </row>
    <row r="14" spans="1:15" ht="15.75" customHeight="1">
      <c r="A14" s="19">
        <v>2</v>
      </c>
      <c r="B14" s="10">
        <v>22</v>
      </c>
      <c r="C14" s="10" t="s">
        <v>90</v>
      </c>
      <c r="D14" s="10">
        <v>4.5</v>
      </c>
      <c r="E14" s="10" t="s">
        <v>78</v>
      </c>
      <c r="F14" s="10">
        <v>30</v>
      </c>
      <c r="G14" s="10">
        <v>40</v>
      </c>
      <c r="H14" s="10">
        <v>3.3333333329999999E-2</v>
      </c>
      <c r="I14" s="10">
        <v>33.333333330000002</v>
      </c>
      <c r="J14" s="20"/>
      <c r="K14" s="20"/>
      <c r="L14" s="20"/>
      <c r="M14" s="20"/>
      <c r="N14" s="20"/>
      <c r="O14" s="20"/>
    </row>
    <row r="15" spans="1:15" ht="15.75" customHeight="1">
      <c r="A15" s="19">
        <v>2</v>
      </c>
      <c r="B15" s="10">
        <v>22</v>
      </c>
      <c r="C15" s="10" t="s">
        <v>91</v>
      </c>
      <c r="D15" s="10">
        <v>4.5</v>
      </c>
      <c r="E15" s="10" t="s">
        <v>78</v>
      </c>
      <c r="F15" s="10">
        <v>40</v>
      </c>
      <c r="G15" s="10">
        <v>50</v>
      </c>
      <c r="H15" s="10">
        <v>2.5000000000000001E-2</v>
      </c>
      <c r="I15" s="10">
        <v>25</v>
      </c>
      <c r="J15" s="20"/>
      <c r="K15" s="20"/>
      <c r="L15" s="20"/>
      <c r="M15" s="20"/>
      <c r="N15" s="20"/>
      <c r="O15" s="20"/>
    </row>
    <row r="16" spans="1:15" ht="15.75" customHeight="1">
      <c r="A16" s="19">
        <v>2</v>
      </c>
      <c r="B16" s="10">
        <v>22</v>
      </c>
      <c r="C16" s="10" t="s">
        <v>87</v>
      </c>
      <c r="D16" s="10">
        <v>2.5</v>
      </c>
      <c r="E16" s="10" t="s">
        <v>84</v>
      </c>
      <c r="F16" s="10">
        <v>10</v>
      </c>
      <c r="G16" s="10">
        <v>15</v>
      </c>
      <c r="H16" s="10">
        <v>0.1</v>
      </c>
      <c r="I16" s="10">
        <v>100</v>
      </c>
      <c r="J16" s="20"/>
      <c r="K16" s="20"/>
      <c r="L16" s="20"/>
      <c r="M16" s="20"/>
      <c r="N16" s="20"/>
      <c r="O16" s="20"/>
    </row>
    <row r="17" spans="1:15" ht="15.75" customHeight="1">
      <c r="A17" s="19">
        <v>2</v>
      </c>
      <c r="B17" s="10">
        <v>22</v>
      </c>
      <c r="C17" s="10" t="s">
        <v>92</v>
      </c>
      <c r="D17" s="10">
        <v>2.5</v>
      </c>
      <c r="E17" s="10" t="s">
        <v>84</v>
      </c>
      <c r="F17" s="10">
        <v>15</v>
      </c>
      <c r="G17" s="10">
        <v>20</v>
      </c>
      <c r="H17" s="10">
        <v>6.6666666669999999E-2</v>
      </c>
      <c r="I17" s="10">
        <v>66.666666669999998</v>
      </c>
      <c r="J17" s="20"/>
      <c r="K17" s="20"/>
      <c r="L17" s="20"/>
      <c r="M17" s="20"/>
      <c r="N17" s="20"/>
      <c r="O17" s="20"/>
    </row>
    <row r="18" spans="1:15" ht="15.75" customHeight="1">
      <c r="A18" s="19">
        <v>2</v>
      </c>
      <c r="B18" s="10">
        <v>22</v>
      </c>
      <c r="C18" s="10" t="s">
        <v>90</v>
      </c>
      <c r="D18" s="10">
        <v>3</v>
      </c>
      <c r="E18" s="10" t="s">
        <v>84</v>
      </c>
      <c r="F18" s="10">
        <v>20</v>
      </c>
      <c r="G18" s="10">
        <v>25</v>
      </c>
      <c r="H18" s="10">
        <v>0.05</v>
      </c>
      <c r="I18" s="10">
        <v>50</v>
      </c>
      <c r="J18" s="20"/>
      <c r="K18" s="20"/>
      <c r="L18" s="20"/>
      <c r="M18" s="20"/>
      <c r="N18" s="20"/>
      <c r="O18" s="20"/>
    </row>
    <row r="19" spans="1:15" ht="15.75" customHeight="1">
      <c r="A19" s="19">
        <v>2</v>
      </c>
      <c r="B19" s="10">
        <v>22</v>
      </c>
      <c r="C19" s="10" t="s">
        <v>93</v>
      </c>
      <c r="D19" s="10">
        <v>3</v>
      </c>
      <c r="E19" s="10" t="s">
        <v>84</v>
      </c>
      <c r="F19" s="10">
        <v>25</v>
      </c>
      <c r="G19" s="10">
        <v>30</v>
      </c>
      <c r="H19" s="10">
        <v>0.04</v>
      </c>
      <c r="I19" s="10">
        <v>40</v>
      </c>
      <c r="J19" s="20"/>
      <c r="K19" s="20"/>
      <c r="L19" s="20"/>
      <c r="M19" s="20"/>
      <c r="N19" s="20"/>
      <c r="O19" s="20"/>
    </row>
    <row r="20" spans="1:15" ht="15.75" customHeight="1">
      <c r="A20" s="19">
        <v>2</v>
      </c>
      <c r="B20" s="10">
        <v>22</v>
      </c>
      <c r="C20" s="10" t="s">
        <v>94</v>
      </c>
      <c r="D20" s="10">
        <v>3</v>
      </c>
      <c r="E20" s="10" t="s">
        <v>84</v>
      </c>
      <c r="F20" s="10">
        <v>30</v>
      </c>
      <c r="G20" s="10">
        <v>35</v>
      </c>
      <c r="H20" s="10">
        <v>3.3333333329999999E-2</v>
      </c>
      <c r="I20" s="10">
        <v>33.333333330000002</v>
      </c>
      <c r="J20" s="20"/>
      <c r="K20" s="20"/>
      <c r="L20" s="20"/>
      <c r="M20" s="20"/>
      <c r="N20" s="20"/>
      <c r="O20" s="20"/>
    </row>
    <row r="21" spans="1:15" ht="15.75" customHeight="1">
      <c r="A21" s="19">
        <v>2</v>
      </c>
      <c r="B21" s="10">
        <v>22</v>
      </c>
      <c r="C21" s="10" t="s">
        <v>95</v>
      </c>
      <c r="D21" s="10">
        <v>3</v>
      </c>
      <c r="E21" s="10" t="s">
        <v>84</v>
      </c>
      <c r="F21" s="10">
        <v>35</v>
      </c>
      <c r="G21" s="10">
        <v>40</v>
      </c>
      <c r="H21" s="10">
        <v>2.8571428570000001E-2</v>
      </c>
      <c r="I21" s="10">
        <v>28.571428569999998</v>
      </c>
      <c r="J21" s="20"/>
      <c r="K21" s="20"/>
      <c r="L21" s="20"/>
      <c r="M21" s="20"/>
      <c r="N21" s="20"/>
      <c r="O21" s="20"/>
    </row>
    <row r="22" spans="1:15" ht="15.75" customHeight="1">
      <c r="A22" s="19">
        <v>2</v>
      </c>
      <c r="B22" s="10">
        <v>22</v>
      </c>
      <c r="C22" s="10" t="s">
        <v>96</v>
      </c>
      <c r="D22" s="10">
        <v>2.5</v>
      </c>
      <c r="E22" s="10" t="s">
        <v>84</v>
      </c>
      <c r="F22" s="10">
        <v>40</v>
      </c>
      <c r="G22" s="10">
        <v>50</v>
      </c>
      <c r="H22" s="10">
        <v>2.5000000000000001E-2</v>
      </c>
      <c r="I22" s="10">
        <v>25</v>
      </c>
      <c r="J22" s="20"/>
      <c r="K22" s="20"/>
      <c r="L22" s="20"/>
      <c r="M22" s="20"/>
      <c r="N22" s="20"/>
      <c r="O22" s="20"/>
    </row>
    <row r="23" spans="1:15" ht="15.75" customHeight="1">
      <c r="A23" s="19">
        <v>2</v>
      </c>
      <c r="B23" s="10">
        <v>22</v>
      </c>
      <c r="C23" s="10" t="s">
        <v>97</v>
      </c>
      <c r="D23" s="10">
        <v>2.5</v>
      </c>
      <c r="E23" s="10" t="s">
        <v>84</v>
      </c>
      <c r="F23" s="10">
        <v>50</v>
      </c>
      <c r="G23" s="10">
        <v>60</v>
      </c>
      <c r="H23" s="10">
        <v>0.02</v>
      </c>
      <c r="I23" s="10">
        <v>20</v>
      </c>
      <c r="J23" s="20"/>
      <c r="K23" s="20"/>
      <c r="L23" s="20"/>
      <c r="M23" s="20"/>
      <c r="N23" s="20"/>
      <c r="O23" s="20"/>
    </row>
    <row r="24" spans="1:15" ht="15.75" customHeight="1">
      <c r="A24" s="19">
        <v>3</v>
      </c>
      <c r="B24" s="10">
        <v>11</v>
      </c>
      <c r="C24" s="10" t="s">
        <v>98</v>
      </c>
      <c r="D24" s="10">
        <v>5.5</v>
      </c>
      <c r="E24" s="10" t="s">
        <v>78</v>
      </c>
      <c r="F24" s="10">
        <v>20</v>
      </c>
      <c r="G24" s="10">
        <v>25</v>
      </c>
      <c r="H24" s="10">
        <v>0.05</v>
      </c>
      <c r="I24" s="10">
        <v>50</v>
      </c>
      <c r="J24" s="20">
        <f>AVERAGE(I24,I25)</f>
        <v>45</v>
      </c>
      <c r="K24" s="20">
        <f>AVERAGE(I26,I27)</f>
        <v>36.666666665000001</v>
      </c>
      <c r="L24" s="20"/>
      <c r="M24" s="20"/>
      <c r="N24" s="20"/>
      <c r="O24" s="20"/>
    </row>
    <row r="25" spans="1:15" ht="15.75" customHeight="1">
      <c r="A25" s="19">
        <v>3</v>
      </c>
      <c r="B25" s="10">
        <v>11</v>
      </c>
      <c r="C25" s="10" t="s">
        <v>99</v>
      </c>
      <c r="D25" s="10">
        <v>5.5</v>
      </c>
      <c r="E25" s="10" t="s">
        <v>78</v>
      </c>
      <c r="F25" s="10">
        <v>25</v>
      </c>
      <c r="G25" s="10">
        <v>30</v>
      </c>
      <c r="H25" s="10">
        <v>0.04</v>
      </c>
      <c r="I25" s="10">
        <v>40</v>
      </c>
      <c r="J25" s="20"/>
      <c r="K25" s="20"/>
      <c r="L25" s="20"/>
      <c r="M25" s="20"/>
      <c r="N25" s="20"/>
      <c r="O25" s="20"/>
    </row>
    <row r="26" spans="1:15" ht="15.75" customHeight="1">
      <c r="A26" s="19">
        <v>3</v>
      </c>
      <c r="B26" s="10">
        <v>11</v>
      </c>
      <c r="C26" s="10" t="s">
        <v>98</v>
      </c>
      <c r="D26" s="10">
        <v>5.5</v>
      </c>
      <c r="E26" s="10" t="s">
        <v>84</v>
      </c>
      <c r="F26" s="10">
        <v>25</v>
      </c>
      <c r="G26" s="10">
        <v>30</v>
      </c>
      <c r="H26" s="10">
        <v>0.04</v>
      </c>
      <c r="I26" s="10">
        <v>40</v>
      </c>
      <c r="J26" s="20"/>
      <c r="K26" s="20"/>
      <c r="L26" s="20"/>
      <c r="M26" s="20"/>
      <c r="N26" s="20"/>
      <c r="O26" s="20"/>
    </row>
    <row r="27" spans="1:15" ht="15.75" customHeight="1">
      <c r="A27" s="19">
        <v>3</v>
      </c>
      <c r="B27" s="10">
        <v>11</v>
      </c>
      <c r="C27" s="10" t="s">
        <v>99</v>
      </c>
      <c r="D27" s="10">
        <v>5.5</v>
      </c>
      <c r="E27" s="10" t="s">
        <v>84</v>
      </c>
      <c r="F27" s="10">
        <v>30</v>
      </c>
      <c r="G27" s="10">
        <v>50</v>
      </c>
      <c r="H27" s="10">
        <v>3.3333333329999999E-2</v>
      </c>
      <c r="I27" s="10">
        <v>33.333333330000002</v>
      </c>
      <c r="J27" s="20"/>
      <c r="K27" s="20"/>
      <c r="L27" s="20"/>
      <c r="M27" s="20"/>
      <c r="N27" s="20"/>
      <c r="O27" s="20"/>
    </row>
    <row r="28" spans="1:15" ht="15.75" customHeight="1">
      <c r="A28" s="19">
        <v>4</v>
      </c>
      <c r="B28" s="10">
        <v>36</v>
      </c>
      <c r="C28" s="10" t="s">
        <v>100</v>
      </c>
      <c r="D28" s="10">
        <v>2</v>
      </c>
      <c r="E28" s="10" t="s">
        <v>78</v>
      </c>
      <c r="F28" s="10">
        <v>15</v>
      </c>
      <c r="G28" s="10">
        <v>20</v>
      </c>
      <c r="H28" s="10">
        <v>6.6666666669999999E-2</v>
      </c>
      <c r="I28" s="10">
        <v>66.666666669999998</v>
      </c>
      <c r="J28" s="20">
        <f>AVERAGE(I28,I29,I30,I31,I32,I33,I34,I35)</f>
        <v>35.724206348750002</v>
      </c>
      <c r="K28" s="20">
        <f>AVERAGE(I36,I37,I38,I39,I40,I41,I42,I43,I44)</f>
        <v>28.219496552222225</v>
      </c>
      <c r="L28" s="20"/>
      <c r="M28" s="20"/>
      <c r="N28" s="20"/>
      <c r="O28" s="20"/>
    </row>
    <row r="29" spans="1:15" ht="15.75" customHeight="1">
      <c r="A29" s="19">
        <v>4</v>
      </c>
      <c r="B29" s="10">
        <v>36</v>
      </c>
      <c r="C29" s="10" t="s">
        <v>101</v>
      </c>
      <c r="D29" s="10">
        <v>3.5</v>
      </c>
      <c r="E29" s="10" t="s">
        <v>78</v>
      </c>
      <c r="F29" s="10">
        <v>20</v>
      </c>
      <c r="G29" s="10">
        <v>25</v>
      </c>
      <c r="H29" s="10">
        <v>0.05</v>
      </c>
      <c r="I29" s="10">
        <v>50</v>
      </c>
      <c r="J29" s="20"/>
      <c r="K29" s="20"/>
      <c r="L29" s="20"/>
      <c r="M29" s="20"/>
      <c r="N29" s="20"/>
      <c r="O29" s="20"/>
    </row>
    <row r="30" spans="1:15" ht="15.75" customHeight="1">
      <c r="A30" s="19">
        <v>4</v>
      </c>
      <c r="B30" s="10">
        <v>36</v>
      </c>
      <c r="C30" s="10" t="s">
        <v>102</v>
      </c>
      <c r="D30" s="10">
        <v>4</v>
      </c>
      <c r="E30" s="10" t="s">
        <v>78</v>
      </c>
      <c r="F30" s="10">
        <v>25</v>
      </c>
      <c r="G30" s="10">
        <v>30</v>
      </c>
      <c r="H30" s="10">
        <v>0.04</v>
      </c>
      <c r="I30" s="10">
        <v>40</v>
      </c>
      <c r="J30" s="20"/>
      <c r="K30" s="20"/>
      <c r="L30" s="20"/>
      <c r="M30" s="20"/>
      <c r="N30" s="20"/>
      <c r="O30" s="20"/>
    </row>
    <row r="31" spans="1:15" ht="15.75" customHeight="1">
      <c r="A31" s="19">
        <v>4</v>
      </c>
      <c r="B31" s="10">
        <v>36</v>
      </c>
      <c r="C31" s="10" t="s">
        <v>103</v>
      </c>
      <c r="D31" s="10">
        <v>5</v>
      </c>
      <c r="E31" s="10" t="s">
        <v>78</v>
      </c>
      <c r="F31" s="10">
        <v>30</v>
      </c>
      <c r="G31" s="10">
        <v>35</v>
      </c>
      <c r="H31" s="10">
        <v>3.3333333329999999E-2</v>
      </c>
      <c r="I31" s="10">
        <v>33.333333330000002</v>
      </c>
      <c r="J31" s="20"/>
      <c r="K31" s="20"/>
      <c r="L31" s="20"/>
      <c r="M31" s="20"/>
      <c r="N31" s="20"/>
      <c r="O31" s="20"/>
    </row>
    <row r="32" spans="1:15" ht="15.75" customHeight="1">
      <c r="A32" s="19">
        <v>4</v>
      </c>
      <c r="B32" s="10">
        <v>36</v>
      </c>
      <c r="C32" s="10" t="s">
        <v>104</v>
      </c>
      <c r="D32" s="10">
        <v>5.5</v>
      </c>
      <c r="E32" s="10" t="s">
        <v>78</v>
      </c>
      <c r="F32" s="10">
        <v>35</v>
      </c>
      <c r="G32" s="10">
        <v>40</v>
      </c>
      <c r="H32" s="10">
        <v>2.8571428570000001E-2</v>
      </c>
      <c r="I32" s="10">
        <v>28.571428569999998</v>
      </c>
      <c r="J32" s="20"/>
      <c r="K32" s="20"/>
      <c r="L32" s="20"/>
      <c r="M32" s="20"/>
      <c r="N32" s="20"/>
      <c r="O32" s="20"/>
    </row>
    <row r="33" spans="1:15" ht="15.75" customHeight="1">
      <c r="A33" s="19">
        <v>4</v>
      </c>
      <c r="B33" s="10">
        <v>36</v>
      </c>
      <c r="C33" s="10" t="s">
        <v>105</v>
      </c>
      <c r="D33" s="10">
        <v>6</v>
      </c>
      <c r="E33" s="10" t="s">
        <v>78</v>
      </c>
      <c r="F33" s="10">
        <v>40</v>
      </c>
      <c r="G33" s="10">
        <v>45</v>
      </c>
      <c r="H33" s="10">
        <v>2.5000000000000001E-2</v>
      </c>
      <c r="I33" s="10">
        <v>25</v>
      </c>
      <c r="J33" s="20"/>
      <c r="K33" s="20"/>
      <c r="L33" s="20"/>
      <c r="M33" s="20"/>
      <c r="N33" s="20"/>
      <c r="O33" s="20"/>
    </row>
    <row r="34" spans="1:15" ht="15.75" customHeight="1">
      <c r="A34" s="19">
        <v>4</v>
      </c>
      <c r="B34" s="10">
        <v>36</v>
      </c>
      <c r="C34" s="10" t="s">
        <v>106</v>
      </c>
      <c r="D34" s="10">
        <v>5</v>
      </c>
      <c r="E34" s="10" t="s">
        <v>78</v>
      </c>
      <c r="F34" s="10">
        <v>45</v>
      </c>
      <c r="G34" s="10">
        <v>50</v>
      </c>
      <c r="H34" s="10">
        <v>2.2222222220000001E-2</v>
      </c>
      <c r="I34" s="10">
        <v>22.222222219999999</v>
      </c>
      <c r="J34" s="20"/>
      <c r="K34" s="20"/>
      <c r="L34" s="20"/>
      <c r="M34" s="20"/>
      <c r="N34" s="20"/>
      <c r="O34" s="20"/>
    </row>
    <row r="35" spans="1:15" ht="15.75" customHeight="1">
      <c r="A35" s="19">
        <v>4</v>
      </c>
      <c r="B35" s="10">
        <v>36</v>
      </c>
      <c r="C35" s="10" t="s">
        <v>107</v>
      </c>
      <c r="D35" s="10">
        <v>5</v>
      </c>
      <c r="E35" s="10" t="s">
        <v>78</v>
      </c>
      <c r="F35" s="10">
        <v>50</v>
      </c>
      <c r="G35" s="10">
        <v>60</v>
      </c>
      <c r="H35" s="10">
        <v>0.02</v>
      </c>
      <c r="I35" s="10">
        <v>20</v>
      </c>
      <c r="J35" s="20"/>
      <c r="K35" s="20"/>
      <c r="L35" s="20"/>
      <c r="M35" s="20"/>
      <c r="N35" s="20"/>
      <c r="O35" s="20"/>
    </row>
    <row r="36" spans="1:15" ht="15.75" customHeight="1">
      <c r="A36" s="19">
        <v>4</v>
      </c>
      <c r="B36" s="10">
        <v>36</v>
      </c>
      <c r="C36" s="10" t="s">
        <v>100</v>
      </c>
      <c r="D36" s="10">
        <v>1.5</v>
      </c>
      <c r="E36" s="10" t="s">
        <v>84</v>
      </c>
      <c r="F36" s="10">
        <v>20</v>
      </c>
      <c r="G36" s="10">
        <v>25</v>
      </c>
      <c r="H36" s="10">
        <v>0.05</v>
      </c>
      <c r="I36" s="10">
        <v>50</v>
      </c>
      <c r="J36" s="20"/>
      <c r="K36" s="20"/>
      <c r="L36" s="20"/>
      <c r="M36" s="20"/>
      <c r="N36" s="20"/>
      <c r="O36" s="20"/>
    </row>
    <row r="37" spans="1:15" ht="15.75" customHeight="1">
      <c r="A37" s="19">
        <v>4</v>
      </c>
      <c r="B37" s="10">
        <v>36</v>
      </c>
      <c r="C37" s="10" t="s">
        <v>101</v>
      </c>
      <c r="D37" s="10">
        <v>2</v>
      </c>
      <c r="E37" s="10" t="s">
        <v>84</v>
      </c>
      <c r="F37" s="10">
        <v>25</v>
      </c>
      <c r="G37" s="10">
        <v>30</v>
      </c>
      <c r="H37" s="10">
        <v>0.04</v>
      </c>
      <c r="I37" s="10">
        <v>40</v>
      </c>
      <c r="J37" s="20"/>
      <c r="K37" s="20"/>
      <c r="L37" s="20"/>
      <c r="M37" s="20"/>
      <c r="N37" s="20"/>
      <c r="O37" s="20"/>
    </row>
    <row r="38" spans="1:15" ht="15.75" customHeight="1">
      <c r="A38" s="19">
        <v>4</v>
      </c>
      <c r="B38" s="10">
        <v>36</v>
      </c>
      <c r="C38" s="10" t="s">
        <v>102</v>
      </c>
      <c r="D38" s="10">
        <v>3</v>
      </c>
      <c r="E38" s="10" t="s">
        <v>84</v>
      </c>
      <c r="F38" s="10">
        <v>30</v>
      </c>
      <c r="G38" s="10">
        <v>35</v>
      </c>
      <c r="H38" s="10">
        <v>3.3333333329999999E-2</v>
      </c>
      <c r="I38" s="10">
        <v>33.333333330000002</v>
      </c>
      <c r="J38" s="20"/>
      <c r="K38" s="20"/>
      <c r="L38" s="20"/>
      <c r="M38" s="20"/>
      <c r="N38" s="20"/>
      <c r="O38" s="20"/>
    </row>
    <row r="39" spans="1:15" ht="15.75" customHeight="1">
      <c r="A39" s="19">
        <v>4</v>
      </c>
      <c r="B39" s="10">
        <v>36</v>
      </c>
      <c r="C39" s="10" t="s">
        <v>103</v>
      </c>
      <c r="D39" s="10">
        <v>4</v>
      </c>
      <c r="E39" s="10" t="s">
        <v>84</v>
      </c>
      <c r="F39" s="10">
        <v>35</v>
      </c>
      <c r="G39" s="10">
        <v>40</v>
      </c>
      <c r="H39" s="10">
        <v>2.8571428570000001E-2</v>
      </c>
      <c r="I39" s="10">
        <v>28.571428569999998</v>
      </c>
      <c r="J39" s="20"/>
      <c r="K39" s="20"/>
      <c r="L39" s="20"/>
      <c r="M39" s="20"/>
      <c r="N39" s="20"/>
      <c r="O39" s="20"/>
    </row>
    <row r="40" spans="1:15" ht="15.75" customHeight="1">
      <c r="A40" s="19">
        <v>4</v>
      </c>
      <c r="B40" s="10">
        <v>36</v>
      </c>
      <c r="C40" s="10" t="s">
        <v>104</v>
      </c>
      <c r="D40" s="10">
        <v>5</v>
      </c>
      <c r="E40" s="10" t="s">
        <v>84</v>
      </c>
      <c r="F40" s="10">
        <v>40</v>
      </c>
      <c r="G40" s="10">
        <v>45</v>
      </c>
      <c r="H40" s="10">
        <v>2.5000000000000001E-2</v>
      </c>
      <c r="I40" s="10">
        <v>25</v>
      </c>
      <c r="J40" s="20"/>
      <c r="K40" s="20"/>
      <c r="L40" s="20"/>
      <c r="M40" s="20"/>
      <c r="N40" s="20"/>
      <c r="O40" s="20"/>
    </row>
    <row r="41" spans="1:15" ht="15.75" customHeight="1">
      <c r="A41" s="19">
        <v>4</v>
      </c>
      <c r="B41" s="10">
        <v>36</v>
      </c>
      <c r="C41" s="10" t="s">
        <v>105</v>
      </c>
      <c r="D41" s="10">
        <v>6</v>
      </c>
      <c r="E41" s="10" t="s">
        <v>84</v>
      </c>
      <c r="F41" s="10">
        <v>45</v>
      </c>
      <c r="G41" s="10">
        <v>50</v>
      </c>
      <c r="H41" s="10">
        <v>2.2222222220000001E-2</v>
      </c>
      <c r="I41" s="10">
        <v>22.222222219999999</v>
      </c>
      <c r="J41" s="20"/>
      <c r="K41" s="20"/>
      <c r="L41" s="20"/>
      <c r="M41" s="20"/>
      <c r="N41" s="20"/>
      <c r="O41" s="20"/>
    </row>
    <row r="42" spans="1:15" ht="15.75" customHeight="1">
      <c r="A42" s="19">
        <v>4</v>
      </c>
      <c r="B42" s="10">
        <v>36</v>
      </c>
      <c r="C42" s="10" t="s">
        <v>106</v>
      </c>
      <c r="D42" s="10">
        <v>5.5</v>
      </c>
      <c r="E42" s="10" t="s">
        <v>84</v>
      </c>
      <c r="F42" s="10">
        <v>50</v>
      </c>
      <c r="G42" s="10">
        <v>55</v>
      </c>
      <c r="H42" s="10">
        <v>0.02</v>
      </c>
      <c r="I42" s="10">
        <v>20</v>
      </c>
      <c r="J42" s="20"/>
      <c r="K42" s="20"/>
      <c r="L42" s="20"/>
      <c r="M42" s="20"/>
      <c r="N42" s="20"/>
      <c r="O42" s="20"/>
    </row>
    <row r="43" spans="1:15" ht="15.75" customHeight="1">
      <c r="A43" s="19">
        <v>4</v>
      </c>
      <c r="B43" s="10">
        <v>36</v>
      </c>
      <c r="C43" s="10" t="s">
        <v>108</v>
      </c>
      <c r="D43" s="10">
        <v>4.5</v>
      </c>
      <c r="E43" s="10" t="s">
        <v>84</v>
      </c>
      <c r="F43" s="10">
        <v>55</v>
      </c>
      <c r="G43" s="10">
        <v>60</v>
      </c>
      <c r="H43" s="10">
        <v>1.818181818E-2</v>
      </c>
      <c r="I43" s="10">
        <v>18.18181818</v>
      </c>
      <c r="J43" s="20"/>
      <c r="K43" s="20"/>
      <c r="L43" s="20"/>
      <c r="M43" s="20"/>
      <c r="N43" s="20"/>
      <c r="O43" s="20"/>
    </row>
    <row r="44" spans="1:15" ht="15.75" customHeight="1">
      <c r="A44" s="19">
        <v>4</v>
      </c>
      <c r="B44" s="10">
        <v>36</v>
      </c>
      <c r="C44" s="10" t="s">
        <v>109</v>
      </c>
      <c r="D44" s="10">
        <v>4.5</v>
      </c>
      <c r="E44" s="10" t="s">
        <v>84</v>
      </c>
      <c r="F44" s="10">
        <v>60</v>
      </c>
      <c r="G44" s="10">
        <v>70</v>
      </c>
      <c r="H44" s="10">
        <v>1.666666667E-2</v>
      </c>
      <c r="I44" s="10">
        <v>16.666666670000001</v>
      </c>
      <c r="J44" s="20"/>
      <c r="K44" s="20"/>
      <c r="L44" s="20"/>
      <c r="M44" s="20"/>
      <c r="N44" s="20"/>
      <c r="O44" s="20"/>
    </row>
    <row r="45" spans="1:15" ht="15.75" customHeight="1">
      <c r="A45" s="19">
        <v>5</v>
      </c>
      <c r="B45" s="10">
        <v>20</v>
      </c>
      <c r="C45" s="10" t="s">
        <v>110</v>
      </c>
      <c r="D45" s="10">
        <v>3</v>
      </c>
      <c r="E45" s="10" t="s">
        <v>78</v>
      </c>
      <c r="F45" s="10">
        <v>20</v>
      </c>
      <c r="G45" s="10">
        <v>25</v>
      </c>
      <c r="H45" s="10">
        <v>0.05</v>
      </c>
      <c r="I45" s="10">
        <v>50</v>
      </c>
      <c r="J45" s="20">
        <f>AVERAGE(I45,I46,I47,I48)</f>
        <v>37.976190475000003</v>
      </c>
      <c r="K45" s="20">
        <f>AVERAGE(I49,I50,I51,I52,I53)</f>
        <v>29.825396824000002</v>
      </c>
      <c r="L45" s="20"/>
      <c r="M45" s="20"/>
      <c r="N45" s="20"/>
      <c r="O45" s="20"/>
    </row>
    <row r="46" spans="1:15" ht="15.75" customHeight="1">
      <c r="A46" s="19">
        <v>5</v>
      </c>
      <c r="B46" s="10">
        <v>20</v>
      </c>
      <c r="C46" s="10" t="s">
        <v>111</v>
      </c>
      <c r="D46" s="10">
        <v>4</v>
      </c>
      <c r="E46" s="10" t="s">
        <v>78</v>
      </c>
      <c r="F46" s="10">
        <v>25</v>
      </c>
      <c r="G46" s="10">
        <v>30</v>
      </c>
      <c r="H46" s="10">
        <v>0.04</v>
      </c>
      <c r="I46" s="10">
        <v>40</v>
      </c>
      <c r="J46" s="20"/>
      <c r="K46" s="20"/>
      <c r="L46" s="20"/>
      <c r="M46" s="20"/>
      <c r="N46" s="20"/>
      <c r="O46" s="20"/>
    </row>
    <row r="47" spans="1:15" ht="15.75" customHeight="1">
      <c r="A47" s="19">
        <v>5</v>
      </c>
      <c r="B47" s="10">
        <v>20</v>
      </c>
      <c r="C47" s="10" t="s">
        <v>112</v>
      </c>
      <c r="D47" s="10">
        <v>5</v>
      </c>
      <c r="E47" s="10" t="s">
        <v>78</v>
      </c>
      <c r="F47" s="10">
        <v>30</v>
      </c>
      <c r="G47" s="10">
        <v>35</v>
      </c>
      <c r="H47" s="10">
        <v>3.3333333329999999E-2</v>
      </c>
      <c r="I47" s="10">
        <v>33.333333330000002</v>
      </c>
      <c r="J47" s="20"/>
      <c r="K47" s="20"/>
      <c r="L47" s="20"/>
      <c r="M47" s="20"/>
      <c r="N47" s="20"/>
      <c r="O47" s="20"/>
    </row>
    <row r="48" spans="1:15" ht="15.75" customHeight="1">
      <c r="A48" s="19">
        <v>5</v>
      </c>
      <c r="B48" s="10">
        <v>20</v>
      </c>
      <c r="C48" s="10" t="s">
        <v>113</v>
      </c>
      <c r="D48" s="10">
        <v>8</v>
      </c>
      <c r="E48" s="10" t="s">
        <v>78</v>
      </c>
      <c r="F48" s="10">
        <v>35</v>
      </c>
      <c r="G48" s="10">
        <v>45</v>
      </c>
      <c r="H48" s="10">
        <v>2.8571428570000001E-2</v>
      </c>
      <c r="I48" s="10">
        <v>28.571428569999998</v>
      </c>
      <c r="J48" s="20"/>
      <c r="K48" s="20"/>
      <c r="L48" s="20"/>
      <c r="M48" s="20"/>
      <c r="N48" s="20"/>
      <c r="O48" s="20"/>
    </row>
    <row r="49" spans="1:15" ht="15.75" customHeight="1">
      <c r="A49" s="19">
        <v>5</v>
      </c>
      <c r="B49" s="10">
        <v>20</v>
      </c>
      <c r="C49" s="10" t="s">
        <v>110</v>
      </c>
      <c r="D49" s="10">
        <v>2</v>
      </c>
      <c r="E49" s="10" t="s">
        <v>84</v>
      </c>
      <c r="F49" s="10">
        <v>25</v>
      </c>
      <c r="G49" s="10">
        <v>30</v>
      </c>
      <c r="H49" s="10">
        <v>0.04</v>
      </c>
      <c r="I49" s="10">
        <v>40</v>
      </c>
      <c r="J49" s="20"/>
      <c r="K49" s="20"/>
      <c r="L49" s="20"/>
      <c r="M49" s="20"/>
      <c r="N49" s="20"/>
      <c r="O49" s="20"/>
    </row>
    <row r="50" spans="1:15" ht="15.75" customHeight="1">
      <c r="A50" s="19">
        <v>5</v>
      </c>
      <c r="B50" s="10">
        <v>20</v>
      </c>
      <c r="C50" s="10" t="s">
        <v>111</v>
      </c>
      <c r="D50" s="10">
        <v>3.5</v>
      </c>
      <c r="E50" s="10" t="s">
        <v>84</v>
      </c>
      <c r="F50" s="10">
        <v>30</v>
      </c>
      <c r="G50" s="10">
        <v>35</v>
      </c>
      <c r="H50" s="10">
        <v>3.3333333329999999E-2</v>
      </c>
      <c r="I50" s="10">
        <v>33.333333330000002</v>
      </c>
      <c r="J50" s="20"/>
      <c r="K50" s="20"/>
      <c r="L50" s="20"/>
      <c r="M50" s="20"/>
      <c r="N50" s="20"/>
      <c r="O50" s="20"/>
    </row>
    <row r="51" spans="1:15" ht="15.75" customHeight="1">
      <c r="A51" s="19">
        <v>5</v>
      </c>
      <c r="B51" s="10">
        <v>20</v>
      </c>
      <c r="C51" s="10" t="s">
        <v>112</v>
      </c>
      <c r="D51" s="10">
        <v>4</v>
      </c>
      <c r="E51" s="10" t="s">
        <v>84</v>
      </c>
      <c r="F51" s="10">
        <v>35</v>
      </c>
      <c r="G51" s="10">
        <v>40</v>
      </c>
      <c r="H51" s="10">
        <v>2.8571428570000001E-2</v>
      </c>
      <c r="I51" s="10">
        <v>28.571428569999998</v>
      </c>
      <c r="J51" s="20"/>
      <c r="K51" s="20"/>
      <c r="L51" s="20"/>
      <c r="M51" s="20"/>
      <c r="N51" s="20"/>
      <c r="O51" s="20"/>
    </row>
    <row r="52" spans="1:15" ht="15.75" customHeight="1">
      <c r="A52" s="19">
        <v>5</v>
      </c>
      <c r="B52" s="10">
        <v>20</v>
      </c>
      <c r="C52" s="10" t="s">
        <v>114</v>
      </c>
      <c r="D52" s="10">
        <v>4</v>
      </c>
      <c r="E52" s="10" t="s">
        <v>84</v>
      </c>
      <c r="F52" s="10">
        <v>40</v>
      </c>
      <c r="G52" s="10">
        <v>45</v>
      </c>
      <c r="H52" s="10">
        <v>2.5000000000000001E-2</v>
      </c>
      <c r="I52" s="10">
        <v>25</v>
      </c>
      <c r="J52" s="20"/>
      <c r="K52" s="20"/>
      <c r="L52" s="20"/>
      <c r="M52" s="20"/>
      <c r="N52" s="20"/>
      <c r="O52" s="20"/>
    </row>
    <row r="53" spans="1:15" ht="15.75" customHeight="1">
      <c r="A53" s="19">
        <v>5</v>
      </c>
      <c r="B53" s="10">
        <v>20</v>
      </c>
      <c r="C53" s="10" t="s">
        <v>115</v>
      </c>
      <c r="D53" s="10">
        <v>6.5</v>
      </c>
      <c r="E53" s="10" t="s">
        <v>84</v>
      </c>
      <c r="F53" s="10">
        <v>45</v>
      </c>
      <c r="G53" s="10">
        <v>50</v>
      </c>
      <c r="H53" s="10">
        <v>2.2222222220000001E-2</v>
      </c>
      <c r="I53" s="10">
        <v>22.222222219999999</v>
      </c>
      <c r="J53" s="20"/>
      <c r="K53" s="20"/>
      <c r="L53" s="20"/>
      <c r="M53" s="20"/>
      <c r="N53" s="20"/>
      <c r="O53" s="20"/>
    </row>
    <row r="54" spans="1:15" ht="15.75" customHeight="1">
      <c r="A54" s="19">
        <v>6</v>
      </c>
      <c r="B54" s="10">
        <v>22</v>
      </c>
      <c r="C54" s="10" t="s">
        <v>116</v>
      </c>
      <c r="D54" s="10">
        <v>2</v>
      </c>
      <c r="E54" s="10" t="s">
        <v>78</v>
      </c>
      <c r="F54" s="10">
        <v>25</v>
      </c>
      <c r="G54" s="10">
        <v>30</v>
      </c>
      <c r="H54" s="10">
        <v>0.04</v>
      </c>
      <c r="I54" s="10">
        <v>40</v>
      </c>
      <c r="J54" s="20">
        <f>AVERAGE(I54,I55,I56,I57,I58,I59)</f>
        <v>28.187830686666668</v>
      </c>
      <c r="K54" s="20">
        <f>AVERAGE(I60,I61,I62,I63,I64,I65,)</f>
        <v>24.160997731428573</v>
      </c>
      <c r="L54" s="20"/>
      <c r="M54" s="20"/>
      <c r="N54" s="20"/>
      <c r="O54" s="20"/>
    </row>
    <row r="55" spans="1:15" ht="15.75" customHeight="1">
      <c r="A55" s="19">
        <v>6</v>
      </c>
      <c r="B55" s="10">
        <v>22</v>
      </c>
      <c r="C55" s="10" t="s">
        <v>117</v>
      </c>
      <c r="D55" s="10">
        <v>3</v>
      </c>
      <c r="E55" s="10" t="s">
        <v>78</v>
      </c>
      <c r="F55" s="10">
        <v>30</v>
      </c>
      <c r="G55" s="10">
        <v>35</v>
      </c>
      <c r="H55" s="10">
        <v>3.3333333329999999E-2</v>
      </c>
      <c r="I55" s="10">
        <v>33.333333330000002</v>
      </c>
      <c r="J55" s="20"/>
      <c r="K55" s="20"/>
      <c r="L55" s="20"/>
      <c r="M55" s="20"/>
      <c r="N55" s="20"/>
      <c r="O55" s="20"/>
    </row>
    <row r="56" spans="1:15" ht="15.75" customHeight="1">
      <c r="A56" s="19">
        <v>6</v>
      </c>
      <c r="B56" s="10">
        <v>22</v>
      </c>
      <c r="C56" s="10" t="s">
        <v>118</v>
      </c>
      <c r="D56" s="10">
        <v>4.5</v>
      </c>
      <c r="E56" s="10" t="s">
        <v>78</v>
      </c>
      <c r="F56" s="10">
        <v>35</v>
      </c>
      <c r="G56" s="10">
        <v>40</v>
      </c>
      <c r="H56" s="10">
        <v>2.8571428570000001E-2</v>
      </c>
      <c r="I56" s="10">
        <v>28.571428569999998</v>
      </c>
      <c r="J56" s="20"/>
      <c r="K56" s="20"/>
      <c r="L56" s="20"/>
      <c r="M56" s="20"/>
      <c r="N56" s="20"/>
      <c r="O56" s="20"/>
    </row>
    <row r="57" spans="1:15" ht="15.75" customHeight="1">
      <c r="A57" s="19">
        <v>6</v>
      </c>
      <c r="B57" s="10">
        <v>22</v>
      </c>
      <c r="C57" s="10" t="s">
        <v>119</v>
      </c>
      <c r="D57" s="10">
        <v>3</v>
      </c>
      <c r="E57" s="10" t="s">
        <v>78</v>
      </c>
      <c r="F57" s="10">
        <v>40</v>
      </c>
      <c r="G57" s="10">
        <v>45</v>
      </c>
      <c r="H57" s="10">
        <v>2.5000000000000001E-2</v>
      </c>
      <c r="I57" s="10">
        <v>25</v>
      </c>
      <c r="J57" s="20"/>
      <c r="K57" s="20"/>
      <c r="L57" s="20"/>
      <c r="M57" s="20"/>
      <c r="N57" s="20"/>
      <c r="O57" s="20"/>
    </row>
    <row r="58" spans="1:15" ht="15.75" customHeight="1">
      <c r="A58" s="19">
        <v>6</v>
      </c>
      <c r="B58" s="10">
        <v>22</v>
      </c>
      <c r="C58" s="10" t="s">
        <v>120</v>
      </c>
      <c r="D58" s="10">
        <v>4</v>
      </c>
      <c r="E58" s="10" t="s">
        <v>78</v>
      </c>
      <c r="F58" s="10">
        <v>45</v>
      </c>
      <c r="G58" s="10">
        <v>50</v>
      </c>
      <c r="H58" s="10">
        <v>2.2222222220000001E-2</v>
      </c>
      <c r="I58" s="10">
        <v>22.222222219999999</v>
      </c>
      <c r="J58" s="20"/>
      <c r="K58" s="20"/>
      <c r="L58" s="20"/>
      <c r="M58" s="20"/>
      <c r="N58" s="20"/>
      <c r="O58" s="20"/>
    </row>
    <row r="59" spans="1:15" ht="15.75" customHeight="1">
      <c r="A59" s="19">
        <v>6</v>
      </c>
      <c r="B59" s="10">
        <v>22</v>
      </c>
      <c r="C59" s="10" t="s">
        <v>121</v>
      </c>
      <c r="D59" s="10">
        <v>5.5</v>
      </c>
      <c r="E59" s="10" t="s">
        <v>78</v>
      </c>
      <c r="F59" s="10">
        <v>50</v>
      </c>
      <c r="G59" s="10">
        <v>60</v>
      </c>
      <c r="H59" s="10">
        <v>0.02</v>
      </c>
      <c r="I59" s="10">
        <v>20</v>
      </c>
      <c r="J59" s="20"/>
      <c r="K59" s="20"/>
      <c r="L59" s="20"/>
      <c r="M59" s="20"/>
      <c r="N59" s="20"/>
      <c r="O59" s="20"/>
    </row>
    <row r="60" spans="1:15" ht="15.75" customHeight="1">
      <c r="A60" s="19">
        <v>6</v>
      </c>
      <c r="B60" s="10">
        <v>22</v>
      </c>
      <c r="C60" s="10" t="s">
        <v>116</v>
      </c>
      <c r="D60" s="10">
        <v>2.5</v>
      </c>
      <c r="E60" s="10" t="s">
        <v>84</v>
      </c>
      <c r="F60" s="10">
        <v>25</v>
      </c>
      <c r="G60" s="10">
        <v>30</v>
      </c>
      <c r="H60" s="10">
        <v>0.04</v>
      </c>
      <c r="I60" s="10">
        <v>40</v>
      </c>
      <c r="J60" s="20"/>
      <c r="K60" s="20"/>
      <c r="L60" s="20"/>
      <c r="M60" s="20"/>
      <c r="N60" s="20"/>
      <c r="O60" s="20"/>
    </row>
    <row r="61" spans="1:15" ht="15.75" customHeight="1">
      <c r="A61" s="19">
        <v>6</v>
      </c>
      <c r="B61" s="10">
        <v>22</v>
      </c>
      <c r="C61" s="10" t="s">
        <v>117</v>
      </c>
      <c r="D61" s="10">
        <v>3</v>
      </c>
      <c r="E61" s="10" t="s">
        <v>84</v>
      </c>
      <c r="F61" s="10">
        <v>30</v>
      </c>
      <c r="G61" s="10">
        <v>35</v>
      </c>
      <c r="H61" s="10">
        <v>3.3333333329999999E-2</v>
      </c>
      <c r="I61" s="10">
        <v>33.333333330000002</v>
      </c>
      <c r="J61" s="20"/>
      <c r="K61" s="20"/>
      <c r="L61" s="20"/>
      <c r="M61" s="20"/>
      <c r="N61" s="20"/>
      <c r="O61" s="20"/>
    </row>
    <row r="62" spans="1:15" ht="15.75" customHeight="1">
      <c r="A62" s="19">
        <v>6</v>
      </c>
      <c r="B62" s="10">
        <v>22</v>
      </c>
      <c r="C62" s="10" t="s">
        <v>118</v>
      </c>
      <c r="D62" s="10">
        <v>4</v>
      </c>
      <c r="E62" s="10" t="s">
        <v>84</v>
      </c>
      <c r="F62" s="10">
        <v>35</v>
      </c>
      <c r="G62" s="10">
        <v>40</v>
      </c>
      <c r="H62" s="10">
        <v>2.8571428570000001E-2</v>
      </c>
      <c r="I62" s="10">
        <v>28.571428569999998</v>
      </c>
      <c r="J62" s="20"/>
      <c r="K62" s="20"/>
      <c r="L62" s="20"/>
      <c r="M62" s="20"/>
      <c r="N62" s="20"/>
      <c r="O62" s="20"/>
    </row>
    <row r="63" spans="1:15" ht="15.75" customHeight="1">
      <c r="A63" s="19">
        <v>6</v>
      </c>
      <c r="B63" s="10">
        <v>22</v>
      </c>
      <c r="C63" s="10" t="s">
        <v>119</v>
      </c>
      <c r="D63" s="10">
        <v>3.5</v>
      </c>
      <c r="E63" s="10" t="s">
        <v>84</v>
      </c>
      <c r="F63" s="10">
        <v>40</v>
      </c>
      <c r="G63" s="10">
        <v>45</v>
      </c>
      <c r="H63" s="10">
        <v>2.5000000000000001E-2</v>
      </c>
      <c r="I63" s="10">
        <v>25</v>
      </c>
      <c r="J63" s="20"/>
      <c r="K63" s="20"/>
      <c r="L63" s="20"/>
      <c r="M63" s="20"/>
      <c r="N63" s="20"/>
      <c r="O63" s="20"/>
    </row>
    <row r="64" spans="1:15" ht="15.75" customHeight="1">
      <c r="A64" s="19">
        <v>6</v>
      </c>
      <c r="B64" s="10">
        <v>22</v>
      </c>
      <c r="C64" s="10" t="s">
        <v>120</v>
      </c>
      <c r="D64" s="10">
        <v>4</v>
      </c>
      <c r="E64" s="10" t="s">
        <v>84</v>
      </c>
      <c r="F64" s="10">
        <v>45</v>
      </c>
      <c r="G64" s="10">
        <v>50</v>
      </c>
      <c r="H64" s="10">
        <v>2.2222222220000001E-2</v>
      </c>
      <c r="I64" s="10">
        <v>22.222222219999999</v>
      </c>
      <c r="J64" s="20"/>
      <c r="K64" s="20"/>
      <c r="L64" s="20"/>
      <c r="M64" s="20"/>
      <c r="N64" s="20"/>
      <c r="O64" s="20"/>
    </row>
    <row r="65" spans="1:15" ht="15.75" customHeight="1">
      <c r="A65" s="19">
        <v>6</v>
      </c>
      <c r="B65" s="10">
        <v>22</v>
      </c>
      <c r="C65" s="10" t="s">
        <v>121</v>
      </c>
      <c r="D65" s="10">
        <v>5</v>
      </c>
      <c r="E65" s="10" t="s">
        <v>84</v>
      </c>
      <c r="F65" s="10">
        <v>50</v>
      </c>
      <c r="G65" s="10">
        <v>60</v>
      </c>
      <c r="H65" s="10">
        <v>0.02</v>
      </c>
      <c r="I65" s="10">
        <v>20</v>
      </c>
      <c r="J65" s="20"/>
      <c r="K65" s="20"/>
      <c r="L65" s="20"/>
      <c r="M65" s="20"/>
      <c r="N65" s="20"/>
      <c r="O65" s="20"/>
    </row>
    <row r="66" spans="1:15" ht="15.75" customHeight="1"/>
    <row r="67" spans="1:15" ht="15.75" customHeight="1"/>
    <row r="68" spans="1:15" ht="15.75" customHeight="1"/>
    <row r="69" spans="1:15" ht="15.75" customHeight="1"/>
    <row r="70" spans="1:15" ht="15.75" customHeight="1"/>
    <row r="71" spans="1:15" ht="15.75" customHeight="1"/>
    <row r="72" spans="1:15" ht="15.75" customHeight="1"/>
    <row r="73" spans="1:15" ht="15.75" customHeight="1"/>
    <row r="74" spans="1:15" ht="15.75" customHeight="1"/>
    <row r="75" spans="1:15" ht="15.75" customHeight="1"/>
    <row r="76" spans="1:15" ht="15.75" customHeight="1"/>
    <row r="77" spans="1:15" ht="15.75" customHeight="1"/>
    <row r="78" spans="1:15" ht="15.75" customHeight="1"/>
    <row r="79" spans="1:15" ht="15.75" customHeight="1"/>
    <row r="80" spans="1:1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E1000"/>
  <sheetViews>
    <sheetView tabSelected="1" workbookViewId="0"/>
  </sheetViews>
  <sheetFormatPr baseColWidth="10" defaultColWidth="12.59765625" defaultRowHeight="15" customHeight="1"/>
  <cols>
    <col min="1" max="1" width="23.265625" customWidth="1"/>
    <col min="2" max="2" width="25.265625" customWidth="1"/>
    <col min="3" max="3" width="12.59765625" customWidth="1"/>
    <col min="4" max="4" width="13.46484375" customWidth="1"/>
    <col min="5" max="5" width="21.46484375" customWidth="1"/>
    <col min="6" max="6" width="12.59765625" customWidth="1"/>
  </cols>
  <sheetData>
    <row r="1" spans="1:5" ht="15.75" customHeight="1">
      <c r="A1" s="19" t="s">
        <v>122</v>
      </c>
      <c r="B1" s="10" t="s">
        <v>123</v>
      </c>
      <c r="C1" s="10" t="s">
        <v>124</v>
      </c>
      <c r="D1" s="21" t="s">
        <v>125</v>
      </c>
      <c r="E1" s="22"/>
    </row>
    <row r="2" spans="1:5" ht="15.75" customHeight="1">
      <c r="A2" s="19" t="s">
        <v>14</v>
      </c>
      <c r="B2" s="23">
        <v>7.92</v>
      </c>
      <c r="C2" s="10">
        <v>66</v>
      </c>
      <c r="D2" s="24">
        <f t="shared" ref="D2:D7" si="0">B2/C2</f>
        <v>0.12</v>
      </c>
      <c r="E2" s="25"/>
    </row>
    <row r="3" spans="1:5" ht="15.75" customHeight="1">
      <c r="A3" s="19" t="s">
        <v>15</v>
      </c>
      <c r="B3" s="23">
        <v>9</v>
      </c>
      <c r="C3" s="10">
        <v>66</v>
      </c>
      <c r="D3" s="26">
        <f t="shared" si="0"/>
        <v>0.13636363636363635</v>
      </c>
      <c r="E3" s="25"/>
    </row>
    <row r="4" spans="1:5" ht="15.75" customHeight="1">
      <c r="A4" s="19" t="s">
        <v>126</v>
      </c>
      <c r="B4" s="23">
        <v>6</v>
      </c>
      <c r="C4" s="10">
        <v>66</v>
      </c>
      <c r="D4" s="27">
        <f t="shared" si="0"/>
        <v>9.0909090909090912E-2</v>
      </c>
      <c r="E4" s="25"/>
    </row>
    <row r="5" spans="1:5" ht="15.75" customHeight="1">
      <c r="A5" s="19" t="s">
        <v>16</v>
      </c>
      <c r="B5" s="23">
        <v>15.18</v>
      </c>
      <c r="C5" s="10">
        <v>66</v>
      </c>
      <c r="D5" s="24">
        <f t="shared" si="0"/>
        <v>0.22999999999999998</v>
      </c>
      <c r="E5" s="25"/>
    </row>
    <row r="6" spans="1:5" ht="15.75" customHeight="1">
      <c r="A6" s="19" t="s">
        <v>17</v>
      </c>
      <c r="B6" s="23">
        <v>7.92</v>
      </c>
      <c r="C6" s="10">
        <v>66</v>
      </c>
      <c r="D6" s="24">
        <f t="shared" si="0"/>
        <v>0.12</v>
      </c>
      <c r="E6" s="25"/>
    </row>
    <row r="7" spans="1:5" ht="15.75" customHeight="1">
      <c r="A7" s="19" t="s">
        <v>18</v>
      </c>
      <c r="B7" s="23">
        <v>5</v>
      </c>
      <c r="C7" s="10">
        <v>66</v>
      </c>
      <c r="D7" s="27">
        <f t="shared" si="0"/>
        <v>7.575757575757576E-2</v>
      </c>
      <c r="E7" s="25"/>
    </row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Eboulements</vt:lpstr>
      <vt:lpstr>Lithologie</vt:lpstr>
      <vt:lpstr>Fracturation</vt:lpstr>
      <vt:lpstr>Géomorphologie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TRST</dc:creator>
  <cp:lastModifiedBy>Paul</cp:lastModifiedBy>
  <dcterms:created xsi:type="dcterms:W3CDTF">2025-12-26T09:59:23Z</dcterms:created>
  <dcterms:modified xsi:type="dcterms:W3CDTF">2025-12-26T09:59:23Z</dcterms:modified>
</cp:coreProperties>
</file>